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ueedu.sharepoint.com/sites/CALIDAD_SOFTWARE2026-1/Shared Documents/General/PROYECTO FINAL/Grupo No 1/"/>
    </mc:Choice>
  </mc:AlternateContent>
  <xr:revisionPtr revIDLastSave="193" documentId="8_{8BC0CFBD-B679-42DA-AB29-AB1760F169E2}" xr6:coauthVersionLast="47" xr6:coauthVersionMax="47" xr10:uidLastSave="{7F38E141-A28B-4011-8B8C-D86C861B426E}"/>
  <bookViews>
    <workbookView xWindow="-120" yWindow="-120" windowWidth="9900" windowHeight="14595" xr2:uid="{00000000-000D-0000-FFFF-FFFF00000000}"/>
  </bookViews>
  <sheets>
    <sheet name="Estimación de tiempos" sheetId="1" r:id="rId1"/>
    <sheet name="Base de datos" sheetId="2" state="hidden" r:id="rId2"/>
  </sheets>
  <definedNames>
    <definedName name="Etapas">'Base de datos'!$F$4:$F$11</definedName>
    <definedName name="Eventos">'Base de datos'!$C$4:$C$9</definedName>
    <definedName name="Excel_BuiltIn__FilterDatabase_2">#REF!</definedName>
    <definedName name="Excel_BuiltIn_Extract_2">#REF!</definedName>
    <definedName name="FinalizarAct">'Base de datos'!$A$4:$A$5</definedName>
    <definedName name="OPCION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923THRiLnr//G12VTEUgbH9ODaA=="/>
    </ext>
  </extLst>
</workbook>
</file>

<file path=xl/calcChain.xml><?xml version="1.0" encoding="utf-8"?>
<calcChain xmlns="http://schemas.openxmlformats.org/spreadsheetml/2006/main">
  <c r="B48" i="1" l="1"/>
  <c r="B45" i="1"/>
  <c r="B22" i="1"/>
  <c r="B69" i="1"/>
  <c r="B59" i="1"/>
  <c r="B54" i="1"/>
  <c r="B51" i="1"/>
  <c r="B18" i="1"/>
  <c r="B14" i="1"/>
  <c r="B26" i="1" l="1"/>
  <c r="B74" i="1" s="1"/>
  <c r="C74" i="1" l="1"/>
  <c r="B75" i="1" l="1"/>
  <c r="C75" i="1" s="1"/>
</calcChain>
</file>

<file path=xl/sharedStrings.xml><?xml version="1.0" encoding="utf-8"?>
<sst xmlns="http://schemas.openxmlformats.org/spreadsheetml/2006/main" count="107" uniqueCount="99">
  <si>
    <t xml:space="preserve">                          ESTIMACIÓN DE TIEMPOS</t>
  </si>
  <si>
    <t>Código: AC-02
Versión: 1.0
Fecha: 23/0/2024</t>
  </si>
  <si>
    <t>Nombre Proyecto</t>
  </si>
  <si>
    <t>timeanddate</t>
  </si>
  <si>
    <t>Líder Técnico</t>
  </si>
  <si>
    <t xml:space="preserve">Susana Solórzano Salazar- Kevin Daniel Alzate Gómez </t>
  </si>
  <si>
    <t>1 sprint</t>
  </si>
  <si>
    <t>Analista Desarrollo</t>
  </si>
  <si>
    <t xml:space="preserve">Luis Fernando Morales Chavarría </t>
  </si>
  <si>
    <t xml:space="preserve">Analista Calidad </t>
  </si>
  <si>
    <t xml:space="preserve">Antonio De León Jiménez </t>
  </si>
  <si>
    <t>Esce</t>
  </si>
  <si>
    <t>Fecha</t>
  </si>
  <si>
    <t>% Regresión (respecto a la ejecución)</t>
  </si>
  <si>
    <t>Estimación basada en expertos</t>
  </si>
  <si>
    <t>% Incertidumbre (tiempo pesimista)</t>
  </si>
  <si>
    <t>Escenario Optimista</t>
  </si>
  <si>
    <t>1 semana</t>
  </si>
  <si>
    <t xml:space="preserve">5 dias </t>
  </si>
  <si>
    <t>Escenario pesimista</t>
  </si>
  <si>
    <t>1 semana, 2 dias</t>
  </si>
  <si>
    <t>6 dias</t>
  </si>
  <si>
    <t>Actividades a Realizar</t>
  </si>
  <si>
    <t>Tiempo Estimado
(horas)</t>
  </si>
  <si>
    <t>Observaciones</t>
  </si>
  <si>
    <t>2 semana</t>
  </si>
  <si>
    <t xml:space="preserve">Etapa de Conocimiento </t>
  </si>
  <si>
    <t>2 semanas</t>
  </si>
  <si>
    <t>Estudio Documentación</t>
  </si>
  <si>
    <t>La documentación suministrada por el cliente fue el enlace web y los casos de uso</t>
  </si>
  <si>
    <t>10 dias</t>
  </si>
  <si>
    <t>habiles</t>
  </si>
  <si>
    <t>Capacitación en la herramienta web: Jira</t>
  </si>
  <si>
    <t>Integración de conocimientos previos e investigación independiente</t>
  </si>
  <si>
    <t>1 dia</t>
  </si>
  <si>
    <t>9 hrs laborales</t>
  </si>
  <si>
    <t>45 hrs</t>
  </si>
  <si>
    <t>90 hrs laborales</t>
  </si>
  <si>
    <t>Etapa de Planeación</t>
  </si>
  <si>
    <t>25 hrs</t>
  </si>
  <si>
    <t>Documentación desactualizada, incompleta o no existe</t>
  </si>
  <si>
    <t>Estimación Tiempos</t>
  </si>
  <si>
    <t>Retraso entrega desarrollo</t>
  </si>
  <si>
    <t>Plan de Pruebas</t>
  </si>
  <si>
    <t>Por la generación de los casos de prueba y comprobando la información generada</t>
  </si>
  <si>
    <t>Falla en servidor</t>
  </si>
  <si>
    <t>Falla en ambiente de pruebas</t>
  </si>
  <si>
    <t>Etapa de Diseño</t>
  </si>
  <si>
    <t>Otros proyectos</t>
  </si>
  <si>
    <t>Diseño Historias de usuario</t>
  </si>
  <si>
    <t>Se hizo un planteamiento inicial de épicas e historias de usuario por cada épica, el cual se simplificó por un formato sin épicas, eso implicó una reestructuración de lo que ya se tenía.</t>
  </si>
  <si>
    <t>Diseño Casos Prueba</t>
  </si>
  <si>
    <t>Error stopper</t>
  </si>
  <si>
    <t>Otros</t>
  </si>
  <si>
    <t>Etapa de Ejecución</t>
  </si>
  <si>
    <t>Etapa de Regresión</t>
  </si>
  <si>
    <t>No se agregan funcionalidades nuevas</t>
  </si>
  <si>
    <t>Etapa de Retest</t>
  </si>
  <si>
    <t>retest ciclos 1, 2 y 3</t>
  </si>
  <si>
    <t>Etapa de Certificación</t>
  </si>
  <si>
    <t>Informe Final Certificación</t>
  </si>
  <si>
    <t>Actividades Administrativas</t>
  </si>
  <si>
    <t>Reuniones</t>
  </si>
  <si>
    <t xml:space="preserve">Entrega Requerimiento </t>
  </si>
  <si>
    <t>Gestión de Insumos</t>
  </si>
  <si>
    <t>Desfases</t>
  </si>
  <si>
    <t>Nuevos Requerimientos</t>
  </si>
  <si>
    <t>Total Tiempo (Optimista)</t>
  </si>
  <si>
    <t>Total Tiempo (Pesimista)</t>
  </si>
  <si>
    <t>Finalizada</t>
  </si>
  <si>
    <t>Evento</t>
  </si>
  <si>
    <t>Etapas</t>
  </si>
  <si>
    <t>NO</t>
  </si>
  <si>
    <t>Evento Stopper</t>
  </si>
  <si>
    <t>Etapa de Conocimiento</t>
  </si>
  <si>
    <t>SI</t>
  </si>
  <si>
    <t>Horas invertidas sin avance</t>
  </si>
  <si>
    <t>Mayor tiempo de lo estimado</t>
  </si>
  <si>
    <t>TI (Causa: Proveedor Dllo)</t>
  </si>
  <si>
    <t>TI (Causa: Cliente)</t>
  </si>
  <si>
    <t>TI (Causa: SQA S.A.)</t>
  </si>
  <si>
    <t>Etapa de Estabilización</t>
  </si>
  <si>
    <t>No Aplica</t>
  </si>
  <si>
    <t>HU-1 - Personalizar experiencia</t>
  </si>
  <si>
    <t>HU-2 - Consultar eventos y fechas importantes</t>
  </si>
  <si>
    <t>HU-3 - Obtener Información Meteorológica</t>
  </si>
  <si>
    <t>HU-4 - Explorar información astronómica</t>
  </si>
  <si>
    <t>HU-5 - Consultar noticias</t>
  </si>
  <si>
    <t>HU-6 - Consultar información sobre la empresa</t>
  </si>
  <si>
    <t>HU-7 - Consultar información legal</t>
  </si>
  <si>
    <t>HU-8 - Medir Tiempo con Temporizador y Cronómetro en Línea</t>
  </si>
  <si>
    <t>U-9 - Calcular duraciones y planificación de fechas</t>
  </si>
  <si>
    <t>HU-10 - Conocer e interactuar con la empresa</t>
  </si>
  <si>
    <t>HU-11 - Consultar de políticas legales y privacidad del sitio</t>
  </si>
  <si>
    <t>HU-12 - Ver página traducida</t>
  </si>
  <si>
    <t>HU-13 - Consultar reloj mundial</t>
  </si>
  <si>
    <t>HU-14 - Consultar zonas horarias</t>
  </si>
  <si>
    <t>HU-15 - Visualizar redes sociales de la página</t>
  </si>
  <si>
    <t>HU-16 - Acceder a servicios de la página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</si>
</sst>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#,##0\ &quot;Horas&quot;"/>
    <numFmt numFmtId="166" formatCode="#,##0\ &quot;Días&quot;"/>
  </numFmts>
  <fonts count="20" x14ac:knownFonts="1">
    <font>
      <sz val="10"/>
      <color rgb="FF000000"/>
      <name val="Arial"/>
    </font>
    <font>
      <b/>
      <sz val="13"/>
      <color rgb="FF002060"/>
      <name val="Calibri"/>
    </font>
    <font>
      <sz val="10"/>
      <name val="Arial"/>
    </font>
    <font>
      <b/>
      <sz val="11"/>
      <color rgb="FF002060"/>
      <name val="Calibri"/>
    </font>
    <font>
      <sz val="10"/>
      <color theme="1"/>
      <name val="Calibri"/>
    </font>
    <font>
      <sz val="10"/>
      <color theme="0"/>
      <name val="Calibri"/>
    </font>
    <font>
      <b/>
      <sz val="12"/>
      <color rgb="FF002060"/>
      <name val="Calibri"/>
    </font>
    <font>
      <b/>
      <sz val="12"/>
      <color rgb="FF003399"/>
      <name val="Calibri"/>
    </font>
    <font>
      <b/>
      <sz val="12"/>
      <color theme="0"/>
      <name val="Calibri"/>
    </font>
    <font>
      <sz val="12"/>
      <color theme="1"/>
      <name val="Calibri"/>
    </font>
    <font>
      <sz val="11"/>
      <color theme="1"/>
      <name val="Calibri"/>
    </font>
    <font>
      <sz val="12"/>
      <color theme="0"/>
      <name val="Calibri"/>
    </font>
    <font>
      <sz val="11"/>
      <color theme="0"/>
      <name val="Calibri"/>
    </font>
    <font>
      <sz val="11"/>
      <color rgb="FF263238"/>
      <name val="Calibri"/>
    </font>
    <font>
      <sz val="11"/>
      <name val="Arial"/>
    </font>
    <font>
      <b/>
      <sz val="10"/>
      <color theme="1"/>
      <name val="Arial"/>
    </font>
    <font>
      <sz val="10"/>
      <color rgb="FFFF0000"/>
      <name val="Calibri"/>
    </font>
    <font>
      <sz val="12"/>
      <color rgb="FFFF0000"/>
      <name val="Calibri"/>
    </font>
    <font>
      <sz val="11"/>
      <color rgb="FFFF0000"/>
      <name val="Calibri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A3782"/>
        <bgColor rgb="FF0A3782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8" fillId="2" borderId="2" xfId="0" applyFont="1" applyFill="1" applyBorder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8" fillId="2" borderId="3" xfId="0" applyFont="1" applyFill="1" applyBorder="1" applyAlignment="1">
      <alignment vertical="center"/>
    </xf>
    <xf numFmtId="9" fontId="10" fillId="0" borderId="2" xfId="0" applyNumberFormat="1" applyFont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9" fontId="10" fillId="0" borderId="0" xfId="0" applyNumberFormat="1" applyFont="1" applyAlignment="1">
      <alignment vertical="top" wrapText="1"/>
    </xf>
    <xf numFmtId="0" fontId="9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/>
    <xf numFmtId="0" fontId="10" fillId="0" borderId="0" xfId="0" applyFont="1"/>
    <xf numFmtId="0" fontId="12" fillId="0" borderId="0" xfId="0" applyFont="1"/>
    <xf numFmtId="0" fontId="10" fillId="0" borderId="10" xfId="0" applyFont="1" applyBorder="1" applyAlignment="1">
      <alignment horizontal="left" vertical="top" wrapText="1"/>
    </xf>
    <xf numFmtId="0" fontId="13" fillId="0" borderId="10" xfId="0" applyFont="1" applyBorder="1"/>
    <xf numFmtId="0" fontId="14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/>
    </xf>
    <xf numFmtId="0" fontId="8" fillId="2" borderId="11" xfId="0" applyFont="1" applyFill="1" applyBorder="1" applyAlignment="1">
      <alignment vertical="center"/>
    </xf>
    <xf numFmtId="165" fontId="6" fillId="0" borderId="2" xfId="0" applyNumberFormat="1" applyFont="1" applyBorder="1" applyAlignment="1">
      <alignment horizontal="center" vertical="top" wrapText="1"/>
    </xf>
    <xf numFmtId="166" fontId="6" fillId="0" borderId="2" xfId="0" applyNumberFormat="1" applyFont="1" applyBorder="1" applyAlignment="1">
      <alignment horizontal="center" vertical="top" wrapText="1"/>
    </xf>
    <xf numFmtId="0" fontId="9" fillId="0" borderId="0" xfId="0" applyFont="1"/>
    <xf numFmtId="0" fontId="11" fillId="0" borderId="0" xfId="0" applyFont="1"/>
    <xf numFmtId="0" fontId="4" fillId="0" borderId="0" xfId="0" applyFont="1" applyAlignment="1">
      <alignment horizontal="left"/>
    </xf>
    <xf numFmtId="0" fontId="15" fillId="0" borderId="0" xfId="0" applyFont="1"/>
    <xf numFmtId="0" fontId="8" fillId="2" borderId="5" xfId="0" applyFont="1" applyFill="1" applyBorder="1" applyAlignment="1">
      <alignment vertical="center"/>
    </xf>
    <xf numFmtId="0" fontId="13" fillId="0" borderId="11" xfId="0" applyFont="1" applyBorder="1"/>
    <xf numFmtId="0" fontId="10" fillId="0" borderId="11" xfId="0" applyFont="1" applyBorder="1" applyAlignment="1">
      <alignment horizontal="left" vertical="top" wrapText="1"/>
    </xf>
    <xf numFmtId="0" fontId="10" fillId="0" borderId="11" xfId="0" applyFont="1" applyBorder="1" applyAlignment="1">
      <alignment wrapText="1"/>
    </xf>
    <xf numFmtId="0" fontId="9" fillId="3" borderId="0" xfId="0" applyFont="1" applyFill="1" applyAlignment="1">
      <alignment vertical="top" wrapText="1"/>
    </xf>
    <xf numFmtId="0" fontId="16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9" fontId="18" fillId="0" borderId="2" xfId="0" applyNumberFormat="1" applyFont="1" applyBorder="1" applyAlignment="1">
      <alignment horizontal="center" vertical="top" wrapText="1"/>
    </xf>
    <xf numFmtId="0" fontId="18" fillId="0" borderId="0" xfId="0" applyFont="1" applyAlignment="1">
      <alignment vertical="top" wrapText="1"/>
    </xf>
    <xf numFmtId="0" fontId="18" fillId="3" borderId="0" xfId="0" applyFont="1" applyFill="1" applyAlignment="1">
      <alignment vertical="top" wrapText="1"/>
    </xf>
    <xf numFmtId="0" fontId="10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0" xfId="0" applyFont="1" applyAlignment="1">
      <alignment horizontal="left" vertical="top" wrapText="1"/>
    </xf>
    <xf numFmtId="0" fontId="19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center" vertical="center" wrapText="1"/>
    </xf>
    <xf numFmtId="0" fontId="2" fillId="0" borderId="1" xfId="0" applyFont="1" applyBorder="1"/>
    <xf numFmtId="0" fontId="9" fillId="0" borderId="11" xfId="0" applyFont="1" applyBorder="1" applyAlignment="1">
      <alignment horizontal="center" vertical="top" wrapText="1"/>
    </xf>
    <xf numFmtId="164" fontId="9" fillId="0" borderId="11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0" fillId="0" borderId="0" xfId="0"/>
    <xf numFmtId="0" fontId="10" fillId="0" borderId="7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8" xfId="0" applyFont="1" applyBorder="1" applyAlignment="1">
      <alignment horizontal="center" vertical="top" wrapText="1"/>
    </xf>
    <xf numFmtId="0" fontId="2" fillId="0" borderId="9" xfId="0" applyFont="1" applyBorder="1"/>
    <xf numFmtId="0" fontId="6" fillId="0" borderId="4" xfId="0" applyFont="1" applyBorder="1" applyAlignment="1">
      <alignment horizontal="center" vertical="top" wrapText="1"/>
    </xf>
    <xf numFmtId="0" fontId="2" fillId="0" borderId="4" xfId="0" applyFont="1" applyBorder="1"/>
    <xf numFmtId="0" fontId="8" fillId="2" borderId="5" xfId="0" applyFont="1" applyFill="1" applyBorder="1" applyAlignment="1">
      <alignment horizontal="center" vertical="center"/>
    </xf>
    <xf numFmtId="0" fontId="2" fillId="0" borderId="6" xfId="0" applyFont="1" applyBorder="1"/>
  </cellXfs>
  <cellStyles count="1">
    <cellStyle name="Normal" xfId="0" builtinId="0"/>
  </cellStyles>
  <dxfs count="2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8"/>
  <sheetViews>
    <sheetView showGridLines="0" tabSelected="1" topLeftCell="A23" workbookViewId="0">
      <selection activeCell="A36" sqref="A36"/>
    </sheetView>
  </sheetViews>
  <sheetFormatPr baseColWidth="10" defaultColWidth="14.42578125" defaultRowHeight="15" customHeight="1" x14ac:dyDescent="0.2"/>
  <cols>
    <col min="1" max="1" width="57" bestFit="1" customWidth="1"/>
    <col min="2" max="2" width="23.85546875" customWidth="1"/>
    <col min="3" max="3" width="35.5703125" customWidth="1"/>
    <col min="4" max="5" width="11.42578125" customWidth="1"/>
    <col min="6" max="6" width="12.85546875" customWidth="1"/>
    <col min="7" max="26" width="11.42578125" customWidth="1"/>
  </cols>
  <sheetData>
    <row r="1" spans="1:26" ht="53.25" customHeight="1" x14ac:dyDescent="0.2">
      <c r="A1" s="51" t="s">
        <v>0</v>
      </c>
      <c r="B1" s="52"/>
      <c r="C1" s="1" t="s">
        <v>1</v>
      </c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">
      <c r="A2" s="4"/>
      <c r="B2" s="5"/>
      <c r="C2" s="6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.25" customHeight="1" x14ac:dyDescent="0.2">
      <c r="A3" s="7" t="s">
        <v>2</v>
      </c>
      <c r="B3" s="53" t="s">
        <v>3</v>
      </c>
      <c r="C3" s="52"/>
      <c r="D3" s="8"/>
      <c r="E3" s="9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7.25" customHeight="1" x14ac:dyDescent="0.2">
      <c r="A4" s="7" t="s">
        <v>4</v>
      </c>
      <c r="B4" s="53" t="s">
        <v>5</v>
      </c>
      <c r="C4" s="52"/>
      <c r="D4" s="8"/>
      <c r="E4" s="9" t="s">
        <v>6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7.25" customHeight="1" x14ac:dyDescent="0.2">
      <c r="A5" s="7" t="s">
        <v>7</v>
      </c>
      <c r="B5" s="53" t="s">
        <v>8</v>
      </c>
      <c r="C5" s="52"/>
      <c r="D5" s="8"/>
      <c r="E5" s="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7.25" customHeight="1" x14ac:dyDescent="0.2">
      <c r="A6" s="37" t="s">
        <v>9</v>
      </c>
      <c r="B6" s="53" t="s">
        <v>10</v>
      </c>
      <c r="C6" s="52"/>
      <c r="D6" s="8"/>
      <c r="E6" s="9" t="s">
        <v>11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7.25" customHeight="1" x14ac:dyDescent="0.2">
      <c r="A7" s="37" t="s">
        <v>12</v>
      </c>
      <c r="B7" s="54">
        <v>46361</v>
      </c>
      <c r="C7" s="52"/>
      <c r="D7" s="8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7.25" customHeight="1" x14ac:dyDescent="0.2">
      <c r="A8" s="55"/>
      <c r="B8" s="56"/>
      <c r="C8" s="56"/>
      <c r="D8" s="8"/>
      <c r="E8" s="9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7.25" customHeight="1" x14ac:dyDescent="0.2">
      <c r="A9" s="10" t="s">
        <v>13</v>
      </c>
      <c r="B9" s="11">
        <v>0.3</v>
      </c>
      <c r="C9" s="12" t="s">
        <v>14</v>
      </c>
      <c r="D9" s="8"/>
      <c r="E9" s="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70.5" customHeight="1" x14ac:dyDescent="0.2">
      <c r="A10" s="10" t="s">
        <v>15</v>
      </c>
      <c r="B10" s="44">
        <v>0.2</v>
      </c>
      <c r="C10" s="13"/>
      <c r="D10" s="8"/>
      <c r="E10" s="42" t="s">
        <v>16</v>
      </c>
      <c r="F10" s="8" t="s">
        <v>17</v>
      </c>
      <c r="G10" s="8" t="s">
        <v>18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33" customHeight="1" x14ac:dyDescent="0.2">
      <c r="A11" s="62"/>
      <c r="B11" s="63"/>
      <c r="C11" s="63"/>
      <c r="D11" s="8"/>
      <c r="E11" s="42" t="s">
        <v>19</v>
      </c>
      <c r="F11" s="42" t="s">
        <v>20</v>
      </c>
      <c r="G11" s="8" t="s">
        <v>21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">
      <c r="A12" s="64" t="s">
        <v>22</v>
      </c>
      <c r="B12" s="64" t="s">
        <v>23</v>
      </c>
      <c r="C12" s="64" t="s">
        <v>24</v>
      </c>
      <c r="D12" s="14"/>
      <c r="E12" s="43"/>
      <c r="F12" s="1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 customHeight="1" x14ac:dyDescent="0.2">
      <c r="A13" s="65"/>
      <c r="B13" s="65"/>
      <c r="C13" s="65"/>
      <c r="D13" s="14"/>
      <c r="E13" s="41" t="s">
        <v>6</v>
      </c>
      <c r="F13" s="15" t="s">
        <v>25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x14ac:dyDescent="0.2">
      <c r="A14" s="16" t="s">
        <v>26</v>
      </c>
      <c r="B14" s="17">
        <f>SUM(B15:B16)</f>
        <v>6</v>
      </c>
      <c r="C14" s="18"/>
      <c r="D14" s="12"/>
      <c r="E14" s="12" t="s">
        <v>27</v>
      </c>
      <c r="F14" s="19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s="48" customFormat="1" ht="45" x14ac:dyDescent="0.2">
      <c r="A15" s="20" t="s">
        <v>28</v>
      </c>
      <c r="B15" s="21">
        <v>4</v>
      </c>
      <c r="C15" s="47" t="s">
        <v>29</v>
      </c>
      <c r="D15" s="12"/>
      <c r="E15" s="12" t="s">
        <v>30</v>
      </c>
      <c r="F15" s="45" t="s">
        <v>31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30" x14ac:dyDescent="0.2">
      <c r="A16" s="20" t="s">
        <v>32</v>
      </c>
      <c r="B16" s="21">
        <v>2</v>
      </c>
      <c r="C16" s="18" t="s">
        <v>33</v>
      </c>
      <c r="D16" s="12"/>
      <c r="E16" s="12" t="s">
        <v>34</v>
      </c>
      <c r="F16" s="45" t="s">
        <v>35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30" x14ac:dyDescent="0.2">
      <c r="A17" s="60"/>
      <c r="B17" s="56"/>
      <c r="C17" s="61"/>
      <c r="D17" s="12"/>
      <c r="E17" s="12" t="s">
        <v>36</v>
      </c>
      <c r="F17" s="46" t="s">
        <v>37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90" x14ac:dyDescent="0.2">
      <c r="A18" s="16" t="s">
        <v>38</v>
      </c>
      <c r="B18" s="17">
        <f>SUM(B19:B20)</f>
        <v>10</v>
      </c>
      <c r="C18" s="18"/>
      <c r="D18" s="12" t="s">
        <v>39</v>
      </c>
      <c r="E18" s="12"/>
      <c r="F18" s="19" t="s">
        <v>40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45" x14ac:dyDescent="0.2">
      <c r="A19" s="20" t="s">
        <v>41</v>
      </c>
      <c r="B19" s="21">
        <v>6</v>
      </c>
      <c r="C19" s="18"/>
      <c r="D19" s="12"/>
      <c r="E19" s="12"/>
      <c r="F19" s="19" t="s">
        <v>42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45" x14ac:dyDescent="0.2">
      <c r="A20" s="20" t="s">
        <v>43</v>
      </c>
      <c r="B20" s="21">
        <v>4</v>
      </c>
      <c r="C20" s="18" t="s">
        <v>44</v>
      </c>
      <c r="D20" s="12"/>
      <c r="E20" s="12"/>
      <c r="F20" s="19" t="s">
        <v>45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45" x14ac:dyDescent="0.2">
      <c r="A21" s="60"/>
      <c r="B21" s="56"/>
      <c r="C21" s="61"/>
      <c r="D21" s="12"/>
      <c r="E21" s="12"/>
      <c r="F21" s="19" t="s">
        <v>46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30" x14ac:dyDescent="0.2">
      <c r="A22" s="16" t="s">
        <v>47</v>
      </c>
      <c r="B22" s="17">
        <f>+SUM(B23:B24)</f>
        <v>15</v>
      </c>
      <c r="C22" s="18"/>
      <c r="D22" s="12"/>
      <c r="E22" s="12"/>
      <c r="F22" s="19" t="s">
        <v>48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75" x14ac:dyDescent="0.2">
      <c r="A23" s="20" t="s">
        <v>49</v>
      </c>
      <c r="B23" s="21">
        <v>12</v>
      </c>
      <c r="C23" s="18" t="s">
        <v>50</v>
      </c>
      <c r="D23" s="12"/>
      <c r="E23" s="12"/>
      <c r="F23" s="19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x14ac:dyDescent="0.2">
      <c r="A24" s="20" t="s">
        <v>51</v>
      </c>
      <c r="B24" s="21">
        <v>3</v>
      </c>
      <c r="C24" s="18"/>
      <c r="D24" s="12"/>
      <c r="E24" s="12"/>
      <c r="F24" s="19" t="s">
        <v>52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x14ac:dyDescent="0.2">
      <c r="A25" s="60"/>
      <c r="B25" s="56"/>
      <c r="C25" s="61"/>
      <c r="D25" s="12"/>
      <c r="E25" s="12"/>
      <c r="F25" s="19" t="s">
        <v>53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x14ac:dyDescent="0.25">
      <c r="A26" s="16" t="s">
        <v>54</v>
      </c>
      <c r="B26" s="17">
        <f>SUM(B27:B43)</f>
        <v>40.5</v>
      </c>
      <c r="C26" s="22"/>
      <c r="D26" s="23"/>
      <c r="E26" s="23"/>
      <c r="F26" s="24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x14ac:dyDescent="0.25">
      <c r="A27" s="25" t="s">
        <v>83</v>
      </c>
      <c r="B27" s="21">
        <v>3</v>
      </c>
      <c r="C27" s="22"/>
      <c r="D27" s="23"/>
      <c r="E27" s="23"/>
      <c r="F27" s="24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" customHeight="1" x14ac:dyDescent="0.25">
      <c r="A28" s="49" t="s">
        <v>84</v>
      </c>
      <c r="B28" s="21">
        <v>3.5</v>
      </c>
      <c r="C28" s="22"/>
      <c r="D28" s="23"/>
      <c r="E28" s="23"/>
      <c r="F28" s="24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" customHeight="1" x14ac:dyDescent="0.25">
      <c r="A29" s="25" t="s">
        <v>85</v>
      </c>
      <c r="B29" s="21">
        <v>3.5</v>
      </c>
      <c r="C29" s="22"/>
      <c r="D29" s="23"/>
      <c r="E29" s="23"/>
      <c r="F29" s="24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x14ac:dyDescent="0.25">
      <c r="A30" s="25" t="s">
        <v>86</v>
      </c>
      <c r="B30" s="21">
        <v>2.5</v>
      </c>
      <c r="C30" s="22"/>
      <c r="D30" s="23"/>
      <c r="E30" s="23"/>
      <c r="F30" s="24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x14ac:dyDescent="0.25">
      <c r="A31" s="25" t="s">
        <v>87</v>
      </c>
      <c r="B31" s="21">
        <v>2</v>
      </c>
      <c r="C31" s="22"/>
      <c r="D31" s="23"/>
      <c r="E31" s="23"/>
      <c r="F31" s="24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" customHeight="1" x14ac:dyDescent="0.25">
      <c r="A32" s="25" t="s">
        <v>88</v>
      </c>
      <c r="B32" s="21">
        <v>3.5</v>
      </c>
      <c r="C32" s="22"/>
      <c r="D32" s="23"/>
      <c r="E32" s="23"/>
      <c r="F32" s="24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x14ac:dyDescent="0.25">
      <c r="A33" s="25" t="s">
        <v>89</v>
      </c>
      <c r="B33" s="21">
        <v>1.5</v>
      </c>
      <c r="C33" s="22"/>
      <c r="D33" s="23"/>
      <c r="E33" s="23"/>
      <c r="F33" s="24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" customHeight="1" x14ac:dyDescent="0.25">
      <c r="A34" s="25" t="s">
        <v>90</v>
      </c>
      <c r="B34" s="21">
        <v>3.5</v>
      </c>
      <c r="C34" s="22"/>
      <c r="D34" s="23"/>
      <c r="E34" s="23"/>
      <c r="F34" s="24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" customHeight="1" x14ac:dyDescent="0.25">
      <c r="A35" s="25" t="s">
        <v>91</v>
      </c>
      <c r="B35" s="21">
        <v>3</v>
      </c>
      <c r="C35" s="22"/>
      <c r="D35" s="23"/>
      <c r="E35" s="23"/>
      <c r="F35" s="24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" customHeight="1" x14ac:dyDescent="0.25">
      <c r="A36" s="25" t="s">
        <v>92</v>
      </c>
      <c r="B36" s="21">
        <v>1.5</v>
      </c>
      <c r="C36" s="22"/>
      <c r="D36" s="23"/>
      <c r="E36" s="23"/>
      <c r="F36" s="24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" customHeight="1" x14ac:dyDescent="0.25">
      <c r="A37" s="25" t="s">
        <v>93</v>
      </c>
      <c r="B37" s="21">
        <v>2.5</v>
      </c>
      <c r="C37" s="22"/>
      <c r="D37" s="23"/>
      <c r="E37" s="23"/>
      <c r="F37" s="24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x14ac:dyDescent="0.25">
      <c r="A38" s="25" t="s">
        <v>94</v>
      </c>
      <c r="B38" s="21">
        <v>2</v>
      </c>
      <c r="C38" s="22"/>
      <c r="D38" s="23"/>
      <c r="E38" s="23"/>
      <c r="F38" s="24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x14ac:dyDescent="0.25">
      <c r="A39" s="25" t="s">
        <v>95</v>
      </c>
      <c r="B39" s="21">
        <v>3.5</v>
      </c>
      <c r="C39" s="22"/>
      <c r="D39" s="23"/>
      <c r="E39" s="23"/>
      <c r="F39" s="24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x14ac:dyDescent="0.25">
      <c r="A40" s="25" t="s">
        <v>96</v>
      </c>
      <c r="B40" s="21">
        <v>3</v>
      </c>
      <c r="C40" s="22"/>
      <c r="D40" s="23"/>
      <c r="E40" s="23"/>
      <c r="F40" s="24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30" x14ac:dyDescent="0.25">
      <c r="A41" s="50" t="s">
        <v>97</v>
      </c>
      <c r="B41" s="21">
        <v>1</v>
      </c>
      <c r="C41" s="22"/>
      <c r="D41" s="23"/>
      <c r="E41" s="23"/>
      <c r="F41" s="24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x14ac:dyDescent="0.25">
      <c r="A42" s="50" t="s">
        <v>98</v>
      </c>
      <c r="B42" s="21">
        <v>1</v>
      </c>
      <c r="C42" s="22"/>
      <c r="D42" s="23"/>
      <c r="E42" s="23"/>
      <c r="F42" s="24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x14ac:dyDescent="0.25">
      <c r="A43" s="25"/>
      <c r="B43" s="21"/>
      <c r="C43" s="22"/>
      <c r="D43" s="23"/>
      <c r="E43" s="23"/>
      <c r="F43" s="24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x14ac:dyDescent="0.25">
      <c r="A44" s="57"/>
      <c r="B44" s="58"/>
      <c r="C44" s="59"/>
      <c r="D44" s="23"/>
      <c r="E44" s="23"/>
      <c r="F44" s="24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x14ac:dyDescent="0.25">
      <c r="A45" s="16" t="s">
        <v>55</v>
      </c>
      <c r="B45" s="17">
        <f>+SUM(B46)</f>
        <v>0</v>
      </c>
      <c r="C45" s="22" t="s">
        <v>56</v>
      </c>
      <c r="D45" s="23"/>
      <c r="E45" s="23"/>
      <c r="F45" s="24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x14ac:dyDescent="0.25">
      <c r="A46" s="16"/>
      <c r="B46" s="27"/>
      <c r="C46" s="22"/>
      <c r="D46" s="23"/>
      <c r="E46" s="23"/>
      <c r="F46" s="24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x14ac:dyDescent="0.25">
      <c r="A47" s="16"/>
      <c r="B47" s="17"/>
      <c r="C47" s="22"/>
      <c r="D47" s="23"/>
      <c r="E47" s="23"/>
      <c r="F47" s="24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x14ac:dyDescent="0.25">
      <c r="A48" s="16" t="s">
        <v>57</v>
      </c>
      <c r="B48" s="17">
        <f>SUM(B49)</f>
        <v>2</v>
      </c>
      <c r="C48" s="22"/>
      <c r="D48" s="23"/>
      <c r="E48" s="23"/>
      <c r="F48" s="24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x14ac:dyDescent="0.25">
      <c r="A49" s="26" t="s">
        <v>58</v>
      </c>
      <c r="B49" s="27">
        <v>2</v>
      </c>
      <c r="C49" s="22"/>
      <c r="D49" s="23"/>
      <c r="E49" s="23"/>
      <c r="F49" s="24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x14ac:dyDescent="0.25">
      <c r="A50" s="38"/>
      <c r="B50" s="21"/>
      <c r="C50" s="22"/>
      <c r="D50" s="23"/>
      <c r="E50" s="23"/>
      <c r="F50" s="24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x14ac:dyDescent="0.25">
      <c r="A51" s="16" t="s">
        <v>59</v>
      </c>
      <c r="B51" s="17">
        <f>SUM(B52)</f>
        <v>1</v>
      </c>
      <c r="C51" s="22"/>
      <c r="D51" s="23"/>
      <c r="E51" s="23"/>
      <c r="F51" s="24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x14ac:dyDescent="0.25">
      <c r="A52" s="39" t="s">
        <v>60</v>
      </c>
      <c r="B52" s="21">
        <v>1</v>
      </c>
      <c r="C52" s="22"/>
      <c r="D52" s="23"/>
      <c r="E52" s="23"/>
      <c r="F52" s="24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x14ac:dyDescent="0.25">
      <c r="A53" s="60"/>
      <c r="B53" s="56"/>
      <c r="C53" s="61"/>
      <c r="D53" s="23"/>
      <c r="E53" s="23"/>
      <c r="F53" s="24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x14ac:dyDescent="0.25">
      <c r="A54" s="16" t="s">
        <v>61</v>
      </c>
      <c r="B54" s="17">
        <f>SUM(B55:B58)</f>
        <v>6</v>
      </c>
      <c r="C54" s="22"/>
      <c r="D54" s="23"/>
      <c r="E54" s="23"/>
      <c r="F54" s="24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x14ac:dyDescent="0.25">
      <c r="A55" s="39" t="s">
        <v>62</v>
      </c>
      <c r="B55" s="21">
        <v>1</v>
      </c>
      <c r="C55" s="22"/>
      <c r="D55" s="23"/>
      <c r="E55" s="23"/>
      <c r="F55" s="24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x14ac:dyDescent="0.25">
      <c r="A56" s="39" t="s">
        <v>63</v>
      </c>
      <c r="B56" s="21">
        <v>2</v>
      </c>
      <c r="C56" s="22"/>
      <c r="D56" s="23"/>
      <c r="E56" s="23"/>
      <c r="F56" s="24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x14ac:dyDescent="0.25">
      <c r="A57" s="39" t="s">
        <v>64</v>
      </c>
      <c r="B57" s="21">
        <v>3</v>
      </c>
      <c r="C57" s="22"/>
      <c r="D57" s="23"/>
      <c r="E57" s="23"/>
      <c r="F57" s="24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x14ac:dyDescent="0.25">
      <c r="A58" s="60"/>
      <c r="B58" s="56"/>
      <c r="C58" s="61"/>
      <c r="D58" s="23"/>
      <c r="E58" s="23"/>
      <c r="F58" s="24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x14ac:dyDescent="0.25">
      <c r="A59" s="16" t="s">
        <v>65</v>
      </c>
      <c r="B59" s="17">
        <f>SUM(B60:B68)</f>
        <v>7</v>
      </c>
      <c r="C59" s="22"/>
      <c r="D59" s="23"/>
      <c r="E59" s="23"/>
      <c r="F59" s="24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30" x14ac:dyDescent="0.25">
      <c r="A60" s="39" t="s">
        <v>40</v>
      </c>
      <c r="B60" s="28">
        <v>4</v>
      </c>
      <c r="C60" s="22"/>
      <c r="D60" s="23"/>
      <c r="E60" s="23"/>
      <c r="F60" s="24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x14ac:dyDescent="0.25">
      <c r="A61" s="39" t="s">
        <v>46</v>
      </c>
      <c r="B61" s="28">
        <v>3</v>
      </c>
      <c r="C61" s="22"/>
      <c r="D61" s="23"/>
      <c r="E61" s="23"/>
      <c r="F61" s="24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x14ac:dyDescent="0.25">
      <c r="A62" s="39"/>
      <c r="B62" s="28"/>
      <c r="C62" s="22"/>
      <c r="D62" s="23"/>
      <c r="E62" s="23"/>
      <c r="F62" s="24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x14ac:dyDescent="0.25">
      <c r="A63" s="39"/>
      <c r="B63" s="28"/>
      <c r="C63" s="22"/>
      <c r="D63" s="23"/>
      <c r="E63" s="23"/>
      <c r="F63" s="24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x14ac:dyDescent="0.25">
      <c r="A64" s="39"/>
      <c r="B64" s="28"/>
      <c r="C64" s="22"/>
      <c r="D64" s="23"/>
      <c r="E64" s="23"/>
      <c r="F64" s="24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x14ac:dyDescent="0.25">
      <c r="A65" s="39"/>
      <c r="B65" s="28"/>
      <c r="C65" s="22"/>
      <c r="D65" s="23"/>
      <c r="E65" s="23"/>
      <c r="F65" s="24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x14ac:dyDescent="0.25">
      <c r="A66" s="39"/>
      <c r="B66" s="28"/>
      <c r="C66" s="22"/>
      <c r="D66" s="23"/>
      <c r="E66" s="23"/>
      <c r="F66" s="24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x14ac:dyDescent="0.25">
      <c r="A67" s="39"/>
      <c r="B67" s="28"/>
      <c r="C67" s="22"/>
      <c r="D67" s="23"/>
      <c r="E67" s="23"/>
      <c r="F67" s="24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x14ac:dyDescent="0.25">
      <c r="A68" s="60"/>
      <c r="B68" s="56"/>
      <c r="C68" s="61"/>
      <c r="D68" s="23"/>
      <c r="E68" s="23"/>
      <c r="F68" s="24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2.75" customHeight="1" x14ac:dyDescent="0.25">
      <c r="A69" s="16" t="s">
        <v>66</v>
      </c>
      <c r="B69" s="17">
        <f>SUM(B70:B73)</f>
        <v>0</v>
      </c>
      <c r="C69" s="22"/>
      <c r="D69" s="23"/>
      <c r="E69" s="23"/>
      <c r="F69" s="24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2.75" customHeight="1" x14ac:dyDescent="0.25">
      <c r="A70" s="40"/>
      <c r="B70" s="29"/>
      <c r="C70" s="22"/>
      <c r="D70" s="23"/>
      <c r="E70" s="23"/>
      <c r="F70" s="24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2.75" customHeight="1" x14ac:dyDescent="0.25">
      <c r="A71" s="40"/>
      <c r="B71" s="29"/>
      <c r="C71" s="22"/>
      <c r="D71" s="23"/>
      <c r="E71" s="23"/>
      <c r="F71" s="24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2.75" customHeight="1" x14ac:dyDescent="0.25">
      <c r="A72" s="40"/>
      <c r="B72" s="29"/>
      <c r="C72" s="22"/>
      <c r="D72" s="23"/>
      <c r="E72" s="23"/>
      <c r="F72" s="24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2.75" customHeight="1" x14ac:dyDescent="0.25">
      <c r="A73" s="60"/>
      <c r="B73" s="56"/>
      <c r="C73" s="61"/>
      <c r="D73" s="33"/>
      <c r="E73" s="33"/>
      <c r="F73" s="34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2.75" customHeight="1" x14ac:dyDescent="0.25">
      <c r="A74" s="30" t="s">
        <v>67</v>
      </c>
      <c r="B74" s="31">
        <f>SUM(B54+B51+B45+B26+B22+B48+B18+B14+B59+B69)</f>
        <v>87.5</v>
      </c>
      <c r="C74" s="32">
        <f>+B74/9</f>
        <v>9.7222222222222214</v>
      </c>
      <c r="D74" s="33"/>
      <c r="E74" s="33"/>
      <c r="F74" s="34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2.75" customHeight="1" x14ac:dyDescent="0.2">
      <c r="A75" s="30" t="s">
        <v>68</v>
      </c>
      <c r="B75" s="31">
        <f>B74+(B74*$B$10)</f>
        <v>105</v>
      </c>
      <c r="C75" s="32">
        <f t="shared" ref="C75" si="0">+B75/9</f>
        <v>11.666666666666666</v>
      </c>
      <c r="D75" s="2"/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35"/>
      <c r="B76" s="2"/>
      <c r="C76" s="2"/>
      <c r="D76" s="2"/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 customHeight="1" x14ac:dyDescent="0.2">
      <c r="A1001" s="2"/>
      <c r="B1001" s="2"/>
      <c r="C1001" s="2"/>
      <c r="D1001" s="2"/>
      <c r="E1001" s="2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 customHeight="1" x14ac:dyDescent="0.2">
      <c r="A1002" s="2"/>
      <c r="B1002" s="2"/>
      <c r="C1002" s="2"/>
      <c r="D1002" s="2"/>
      <c r="E1002" s="2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75" customHeight="1" x14ac:dyDescent="0.2">
      <c r="A1003" s="2"/>
      <c r="B1003" s="2"/>
      <c r="C1003" s="2"/>
      <c r="D1003" s="2"/>
      <c r="E1003" s="2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75" customHeight="1" x14ac:dyDescent="0.2">
      <c r="A1004" s="2"/>
      <c r="B1004" s="2"/>
      <c r="C1004" s="2"/>
      <c r="D1004" s="2"/>
      <c r="E1004" s="2"/>
      <c r="F1004" s="3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2.75" customHeight="1" x14ac:dyDescent="0.2">
      <c r="A1005" s="2"/>
      <c r="B1005" s="2"/>
      <c r="C1005" s="2"/>
      <c r="D1005" s="2"/>
      <c r="E1005" s="2"/>
      <c r="F1005" s="3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2.75" customHeight="1" x14ac:dyDescent="0.2">
      <c r="A1006" s="2"/>
      <c r="B1006" s="2"/>
      <c r="C1006" s="2"/>
      <c r="D1006" s="2"/>
      <c r="E1006" s="2"/>
      <c r="F1006" s="3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2.75" customHeight="1" x14ac:dyDescent="0.2">
      <c r="A1007" s="2"/>
      <c r="B1007" s="2"/>
      <c r="C1007" s="2"/>
      <c r="D1007" s="2"/>
      <c r="E1007" s="2"/>
      <c r="F1007" s="3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2.75" customHeight="1" x14ac:dyDescent="0.2">
      <c r="A1008" s="2"/>
      <c r="B1008" s="2"/>
      <c r="C1008" s="2"/>
      <c r="D1008" s="2"/>
      <c r="E1008" s="2"/>
      <c r="F1008" s="3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2.75" customHeight="1" x14ac:dyDescent="0.2">
      <c r="A1009" s="2"/>
      <c r="B1009" s="2"/>
      <c r="C1009" s="2"/>
      <c r="D1009" s="2"/>
      <c r="E1009" s="2"/>
      <c r="F1009" s="3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2.75" customHeight="1" x14ac:dyDescent="0.2">
      <c r="A1010" s="2"/>
      <c r="B1010" s="2"/>
      <c r="C1010" s="2"/>
      <c r="D1010" s="2"/>
      <c r="E1010" s="2"/>
      <c r="F1010" s="3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2.75" customHeight="1" x14ac:dyDescent="0.2">
      <c r="A1011" s="2"/>
      <c r="B1011" s="2"/>
      <c r="C1011" s="2"/>
      <c r="D1011" s="2"/>
      <c r="E1011" s="2"/>
      <c r="F1011" s="3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2.75" customHeight="1" x14ac:dyDescent="0.2">
      <c r="A1012" s="2"/>
      <c r="B1012" s="2"/>
      <c r="C1012" s="2"/>
      <c r="D1012" s="2"/>
      <c r="E1012" s="2"/>
      <c r="F1012" s="3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2.75" customHeight="1" x14ac:dyDescent="0.2">
      <c r="A1013" s="2"/>
      <c r="B1013" s="2"/>
      <c r="C1013" s="2"/>
      <c r="D1013" s="2"/>
      <c r="E1013" s="2"/>
      <c r="F1013" s="3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2.75" customHeight="1" x14ac:dyDescent="0.2">
      <c r="A1014" s="2"/>
      <c r="B1014" s="2"/>
      <c r="C1014" s="2"/>
      <c r="D1014" s="2"/>
      <c r="E1014" s="2"/>
      <c r="F1014" s="3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2.75" customHeight="1" x14ac:dyDescent="0.2">
      <c r="A1015" s="2"/>
      <c r="B1015" s="2"/>
      <c r="C1015" s="2"/>
      <c r="D1015" s="2"/>
      <c r="E1015" s="2"/>
      <c r="F1015" s="3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2.75" customHeight="1" x14ac:dyDescent="0.2">
      <c r="A1016" s="2"/>
      <c r="B1016" s="2"/>
      <c r="C1016" s="2"/>
      <c r="D1016" s="2"/>
      <c r="E1016" s="2"/>
      <c r="F1016" s="3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2.75" customHeight="1" x14ac:dyDescent="0.2">
      <c r="A1017" s="2"/>
      <c r="B1017" s="2"/>
      <c r="C1017" s="2"/>
      <c r="D1017" s="2"/>
      <c r="E1017" s="2"/>
      <c r="F1017" s="3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5" customHeight="1" x14ac:dyDescent="0.2">
      <c r="A1018" s="2"/>
      <c r="B1018" s="2"/>
      <c r="C1018" s="2"/>
    </row>
  </sheetData>
  <mergeCells count="19">
    <mergeCell ref="A68:C68"/>
    <mergeCell ref="A73:C73"/>
    <mergeCell ref="A11:C11"/>
    <mergeCell ref="A12:A13"/>
    <mergeCell ref="B12:B13"/>
    <mergeCell ref="C12:C13"/>
    <mergeCell ref="A17:C17"/>
    <mergeCell ref="A21:C21"/>
    <mergeCell ref="A25:C25"/>
    <mergeCell ref="B7:C7"/>
    <mergeCell ref="A8:C8"/>
    <mergeCell ref="A44:C44"/>
    <mergeCell ref="A53:C53"/>
    <mergeCell ref="A58:C58"/>
    <mergeCell ref="A1:B1"/>
    <mergeCell ref="B3:C3"/>
    <mergeCell ref="B4:C4"/>
    <mergeCell ref="B5:C5"/>
    <mergeCell ref="B6:C6"/>
  </mergeCells>
  <conditionalFormatting sqref="A3 A45:B45 A47:B48">
    <cfRule type="cellIs" dxfId="23" priority="38" stopIfTrue="1" operator="equal">
      <formula>"n"</formula>
    </cfRule>
  </conditionalFormatting>
  <conditionalFormatting sqref="A5:A12 B14 A14:A17 A19:A21 A23:A25 A27:A44 A52:A53 A55:A58 A69:B72">
    <cfRule type="cellIs" dxfId="22" priority="3" stopIfTrue="1" operator="equal">
      <formula>"N"</formula>
    </cfRule>
    <cfRule type="cellIs" dxfId="21" priority="4" stopIfTrue="1" operator="equal">
      <formula>"n"</formula>
    </cfRule>
  </conditionalFormatting>
  <conditionalFormatting sqref="A46">
    <cfRule type="cellIs" dxfId="20" priority="1" stopIfTrue="1" operator="equal">
      <formula>"N"</formula>
    </cfRule>
    <cfRule type="cellIs" dxfId="19" priority="2" stopIfTrue="1" operator="equal">
      <formula>"n"</formula>
    </cfRule>
  </conditionalFormatting>
  <conditionalFormatting sqref="A48">
    <cfRule type="cellIs" dxfId="18" priority="19" stopIfTrue="1" operator="equal">
      <formula>"N"</formula>
    </cfRule>
    <cfRule type="cellIs" dxfId="17" priority="20" stopIfTrue="1" operator="equal">
      <formula>"n"</formula>
    </cfRule>
  </conditionalFormatting>
  <conditionalFormatting sqref="A68">
    <cfRule type="cellIs" dxfId="16" priority="25" stopIfTrue="1" operator="equal">
      <formula>"N"</formula>
    </cfRule>
    <cfRule type="cellIs" dxfId="15" priority="26" stopIfTrue="1" operator="equal">
      <formula>"n"</formula>
    </cfRule>
  </conditionalFormatting>
  <conditionalFormatting sqref="A73">
    <cfRule type="cellIs" dxfId="14" priority="27" stopIfTrue="1" operator="equal">
      <formula>"N"</formula>
    </cfRule>
    <cfRule type="cellIs" dxfId="13" priority="28" stopIfTrue="1" operator="equal">
      <formula>"n"</formula>
    </cfRule>
  </conditionalFormatting>
  <conditionalFormatting sqref="A18:B18">
    <cfRule type="cellIs" dxfId="12" priority="9" stopIfTrue="1" operator="equal">
      <formula>"N"</formula>
    </cfRule>
    <cfRule type="cellIs" dxfId="11" priority="10" stopIfTrue="1" operator="equal">
      <formula>"n"</formula>
    </cfRule>
  </conditionalFormatting>
  <conditionalFormatting sqref="A22:B22">
    <cfRule type="cellIs" dxfId="10" priority="7" stopIfTrue="1" operator="equal">
      <formula>"N"</formula>
    </cfRule>
    <cfRule type="cellIs" dxfId="9" priority="8" stopIfTrue="1" operator="equal">
      <formula>"n"</formula>
    </cfRule>
  </conditionalFormatting>
  <conditionalFormatting sqref="A26:B26 A51:B51 A54:B54">
    <cfRule type="cellIs" dxfId="8" priority="11" stopIfTrue="1" operator="equal">
      <formula>"N"</formula>
    </cfRule>
    <cfRule type="cellIs" dxfId="7" priority="12" stopIfTrue="1" operator="equal">
      <formula>"n"</formula>
    </cfRule>
  </conditionalFormatting>
  <conditionalFormatting sqref="A47:B48 A3 A45:B45">
    <cfRule type="cellIs" dxfId="6" priority="37" stopIfTrue="1" operator="equal">
      <formula>"N"</formula>
    </cfRule>
  </conditionalFormatting>
  <conditionalFormatting sqref="A59:B67">
    <cfRule type="cellIs" dxfId="5" priority="5" stopIfTrue="1" operator="equal">
      <formula>"N"</formula>
    </cfRule>
    <cfRule type="cellIs" dxfId="4" priority="6" stopIfTrue="1" operator="equal">
      <formula>"n"</formula>
    </cfRule>
  </conditionalFormatting>
  <conditionalFormatting sqref="A74:C75">
    <cfRule type="cellIs" dxfId="3" priority="33" stopIfTrue="1" operator="equal">
      <formula>"N"</formula>
    </cfRule>
    <cfRule type="cellIs" dxfId="2" priority="34" stopIfTrue="1" operator="equal">
      <formula>"n"</formula>
    </cfRule>
  </conditionalFormatting>
  <conditionalFormatting sqref="B12:C12">
    <cfRule type="cellIs" dxfId="1" priority="29" stopIfTrue="1" operator="equal">
      <formula>"N"</formula>
    </cfRule>
    <cfRule type="cellIs" dxfId="0" priority="30" stopIfTrue="1" operator="equal">
      <formula>"n"</formula>
    </cfRule>
  </conditionalFormatting>
  <dataValidations count="2">
    <dataValidation type="decimal" allowBlank="1" showInputMessage="1" showErrorMessage="1" prompt="Error en valor - Solo es permitido valores positivos en el rango de: 0 - 1000" sqref="B15:B16 B19:B20 B23:B24 B40:B43 B52 B55:B57 B69:B72" xr:uid="{00000000-0002-0000-0000-000000000000}">
      <formula1>0</formula1>
      <formula2>1000</formula2>
    </dataValidation>
    <dataValidation type="list" allowBlank="1" showInputMessage="1" showErrorMessage="1" prompt="Causales " sqref="A60:A68" xr:uid="{00000000-0002-0000-0000-000001000000}">
      <formula1>$F$18:$F$25</formula1>
    </dataValidation>
  </dataValidations>
  <printOptions horizontalCentered="1"/>
  <pageMargins left="0.39370078740157483" right="0.39370078740157483" top="0.47244094488188981" bottom="0.94488188976377963" header="0" footer="0"/>
  <pageSetup scale="75" orientation="landscape"/>
  <headerFooter>
    <oddFooter>&amp;CCOPIA NO CONTROLADA AL IMPRIMIR O DESCARGAR DEL MANUAL DE CALIDAD. Antes de imprimir este documento asegúrese que sea necesario. Piense en el medio ambiente. Contáctenos: info@sqasa.com &amp;RPágina &amp;P de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showGridLines="0" workbookViewId="0"/>
  </sheetViews>
  <sheetFormatPr baseColWidth="10" defaultColWidth="14.42578125" defaultRowHeight="15" customHeight="1" x14ac:dyDescent="0.2"/>
  <cols>
    <col min="1" max="4" width="10.7109375" customWidth="1"/>
    <col min="5" max="5" width="20.42578125" customWidth="1"/>
    <col min="6" max="26" width="10.7109375" customWidth="1"/>
  </cols>
  <sheetData>
    <row r="1" spans="1:6" ht="12.75" customHeight="1" x14ac:dyDescent="0.2"/>
    <row r="2" spans="1:6" ht="12.75" customHeight="1" x14ac:dyDescent="0.2">
      <c r="A2" s="36" t="s">
        <v>69</v>
      </c>
      <c r="C2" s="36" t="s">
        <v>70</v>
      </c>
      <c r="F2" s="36" t="s">
        <v>71</v>
      </c>
    </row>
    <row r="3" spans="1:6" ht="12.75" customHeight="1" x14ac:dyDescent="0.2"/>
    <row r="4" spans="1:6" ht="12.75" customHeight="1" x14ac:dyDescent="0.2">
      <c r="A4" s="2" t="s">
        <v>72</v>
      </c>
      <c r="C4" s="2" t="s">
        <v>73</v>
      </c>
      <c r="F4" s="2" t="s">
        <v>74</v>
      </c>
    </row>
    <row r="5" spans="1:6" ht="12.75" customHeight="1" x14ac:dyDescent="0.2">
      <c r="A5" s="2" t="s">
        <v>75</v>
      </c>
      <c r="C5" s="2" t="s">
        <v>76</v>
      </c>
      <c r="F5" s="2" t="s">
        <v>38</v>
      </c>
    </row>
    <row r="6" spans="1:6" ht="12.75" customHeight="1" x14ac:dyDescent="0.2">
      <c r="C6" s="2" t="s">
        <v>77</v>
      </c>
      <c r="F6" s="2" t="s">
        <v>47</v>
      </c>
    </row>
    <row r="7" spans="1:6" ht="12.75" customHeight="1" x14ac:dyDescent="0.2">
      <c r="C7" s="2" t="s">
        <v>78</v>
      </c>
      <c r="F7" s="2" t="s">
        <v>54</v>
      </c>
    </row>
    <row r="8" spans="1:6" ht="12.75" customHeight="1" x14ac:dyDescent="0.2">
      <c r="C8" s="2" t="s">
        <v>79</v>
      </c>
      <c r="F8" s="2" t="s">
        <v>59</v>
      </c>
    </row>
    <row r="9" spans="1:6" ht="12.75" customHeight="1" x14ac:dyDescent="0.2">
      <c r="C9" s="2" t="s">
        <v>80</v>
      </c>
      <c r="F9" s="2" t="s">
        <v>61</v>
      </c>
    </row>
    <row r="10" spans="1:6" ht="12.75" customHeight="1" x14ac:dyDescent="0.2">
      <c r="F10" s="2" t="s">
        <v>81</v>
      </c>
    </row>
    <row r="11" spans="1:6" ht="12.75" customHeight="1" x14ac:dyDescent="0.2">
      <c r="F11" s="2" t="s">
        <v>82</v>
      </c>
    </row>
    <row r="12" spans="1:6" ht="12.75" customHeight="1" x14ac:dyDescent="0.2"/>
    <row r="13" spans="1:6" ht="12.75" customHeight="1" x14ac:dyDescent="0.2"/>
    <row r="14" spans="1:6" ht="12.75" customHeight="1" x14ac:dyDescent="0.2"/>
    <row r="15" spans="1:6" ht="12.75" customHeight="1" x14ac:dyDescent="0.2"/>
    <row r="16" spans="1: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5" right="0.75" top="1" bottom="1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c550b3-3b11-46a8-b6fa-d40a3c9cf4bb">
      <Terms xmlns="http://schemas.microsoft.com/office/infopath/2007/PartnerControls"/>
    </lcf76f155ced4ddcb4097134ff3c332f>
    <TaxCatchAll xmlns="b8b05679-8aa8-4882-8470-e321e59ce16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D0480EA186DB47A725A8FBD1DC791C" ma:contentTypeVersion="11" ma:contentTypeDescription="Create a new document." ma:contentTypeScope="" ma:versionID="fe9fd950816a52e5945d83cefd9b5ae3">
  <xsd:schema xmlns:xsd="http://www.w3.org/2001/XMLSchema" xmlns:xs="http://www.w3.org/2001/XMLSchema" xmlns:p="http://schemas.microsoft.com/office/2006/metadata/properties" xmlns:ns2="5ac550b3-3b11-46a8-b6fa-d40a3c9cf4bb" xmlns:ns3="b8b05679-8aa8-4882-8470-e321e59ce162" targetNamespace="http://schemas.microsoft.com/office/2006/metadata/properties" ma:root="true" ma:fieldsID="9b29b335ee6cd492fd2011459656dcca" ns2:_="" ns3:_="">
    <xsd:import namespace="5ac550b3-3b11-46a8-b6fa-d40a3c9cf4bb"/>
    <xsd:import namespace="b8b05679-8aa8-4882-8470-e321e59ce1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c550b3-3b11-46a8-b6fa-d40a3c9cf4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851db90-9e3f-4191-81db-30634a4670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b05679-8aa8-4882-8470-e321e59ce1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7d4508a-3ba9-4199-97ce-41d878f8e7af}" ma:internalName="TaxCatchAll" ma:showField="CatchAllData" ma:web="b8b05679-8aa8-4882-8470-e321e59ce1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97E5F6-A2A2-4A3A-A131-E040EA2169C7}">
  <ds:schemaRefs>
    <ds:schemaRef ds:uri="5ac550b3-3b11-46a8-b6fa-d40a3c9cf4bb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b8b05679-8aa8-4882-8470-e321e59ce162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03C15B4-D591-4C36-8AB8-BFA606A976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C749F9-DFEF-4C4A-862E-FAA521A833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Estimación de tiempos</vt:lpstr>
      <vt:lpstr>Base de datos</vt:lpstr>
      <vt:lpstr>Etapas</vt:lpstr>
      <vt:lpstr>Eventos</vt:lpstr>
      <vt:lpstr>FinalizarAct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Zully Mabri Quintero Uribe</dc:creator>
  <cp:keywords/>
  <dc:description/>
  <cp:lastModifiedBy>antonio de leon jimenez</cp:lastModifiedBy>
  <cp:revision/>
  <dcterms:created xsi:type="dcterms:W3CDTF">2014-03-05T13:46:17Z</dcterms:created>
  <dcterms:modified xsi:type="dcterms:W3CDTF">2026-05-19T15:16:37Z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CYUPP4NC5VAH-7-3310</vt:lpwstr>
  </property>
  <property fmtid="{D5CDD505-2E9C-101B-9397-08002B2CF9AE}" pid="3" name="_dlc_DocIdItemGuid">
    <vt:lpwstr>dc88fd7e-5dcc-4a84-b9bf-5ddefbcaab98</vt:lpwstr>
  </property>
  <property fmtid="{D5CDD505-2E9C-101B-9397-08002B2CF9AE}" pid="4" name="_dlc_DocIdUrl">
    <vt:lpwstr>http://servidor:10000/_layouts/DocIdRedir.aspx?ID=CYUPP4NC5VAH-7-3310, CYUPP4NC5VAH-7-3310</vt:lpwstr>
  </property>
  <property fmtid="{D5CDD505-2E9C-101B-9397-08002B2CF9AE}" pid="5" name="ContentTypeId">
    <vt:lpwstr>0x01010020D0480EA186DB47A725A8FBD1DC791C</vt:lpwstr>
  </property>
  <property fmtid="{D5CDD505-2E9C-101B-9397-08002B2CF9AE}" pid="6" name="MediaServiceImageTags">
    <vt:lpwstr/>
  </property>
</Properties>
</file>